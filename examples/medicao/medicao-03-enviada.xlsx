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ção" sheetId="1" state="visible" r:id="rId1"/>
  </sheets>
  <definedNames>
    <definedName name="_xlnm._FilterDatabase" localSheetId="0" hidden="1">'Medição'!$A$1:$G$10</definedName>
  </definedNames>
  <calcPr calcId="124519" fullCalcOnLoad="1"/>
  <mc:AlternateContent xmlns:mc="http://schemas.openxmlformats.org/markup-compatibility/2006">
    <mc:Choice Requires="x15">
      <x15ac:absPath xmlns:x15ac="http://schemas.microsoft.com/office/spreadsheetml/2010/11/ac" url="C:/Users/construtora/Desktop"/>
    </mc:Choice>
  </mc:AlternateContent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8" customWidth="1" min="3" max="3"/>
    <col width="8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Item</t>
        </is>
      </c>
      <c r="B1" s="1" t="inlineStr">
        <is>
          <t>Código SINAPI</t>
        </is>
      </c>
      <c r="C1" s="1" t="inlineStr">
        <is>
          <t>Descrição</t>
        </is>
      </c>
      <c r="D1" s="1" t="inlineStr">
        <is>
          <t>Unid</t>
        </is>
      </c>
      <c r="E1" s="1" t="inlineStr">
        <is>
          <t>Qtd medida</t>
        </is>
      </c>
      <c r="F1" s="1" t="inlineStr">
        <is>
          <t>Preço unit.</t>
        </is>
      </c>
      <c r="G1" s="1" t="inlineStr">
        <is>
          <t>Total</t>
        </is>
      </c>
    </row>
    <row r="2">
      <c r="A2" s="2" t="n">
        <v>1</v>
      </c>
      <c r="B2" s="2" t="inlineStr">
        <is>
          <t>90110</t>
        </is>
      </c>
      <c r="C2" s="2" t="inlineStr">
        <is>
          <t>Escavação manual de vala, profundidade até 1,5 m</t>
        </is>
      </c>
      <c r="D2" s="2" t="inlineStr">
        <is>
          <t>m³</t>
        </is>
      </c>
      <c r="E2" s="3" t="n">
        <v>18.4</v>
      </c>
      <c r="F2" s="3" t="n">
        <v>74.8</v>
      </c>
      <c r="G2" s="4">
        <f>E2*F2</f>
        <v/>
      </c>
    </row>
    <row r="3">
      <c r="A3" s="2" t="n">
        <v>2</v>
      </c>
      <c r="B3" s="2" t="inlineStr">
        <is>
          <t>90125</t>
        </is>
      </c>
      <c r="C3" s="2" t="inlineStr">
        <is>
          <t>Concreto usinado fck 25 MPa, lançado em estrutura</t>
        </is>
      </c>
      <c r="D3" s="2" t="inlineStr">
        <is>
          <t>m³</t>
        </is>
      </c>
      <c r="E3" s="3" t="n">
        <v>48.5</v>
      </c>
      <c r="F3" s="3" t="n">
        <v>512.3</v>
      </c>
      <c r="G3" s="4">
        <f>E3*F3</f>
        <v/>
      </c>
    </row>
    <row r="4">
      <c r="A4" s="2" t="n">
        <v>3</v>
      </c>
      <c r="B4" s="2" t="inlineStr">
        <is>
          <t>90133</t>
        </is>
      </c>
      <c r="C4" s="2" t="inlineStr">
        <is>
          <t>Forma de compensado plastificado para viga</t>
        </is>
      </c>
      <c r="D4" s="2" t="inlineStr">
        <is>
          <t>m²</t>
        </is>
      </c>
      <c r="E4" s="3" t="n">
        <v>86</v>
      </c>
      <c r="F4" s="3" t="n">
        <v>68.40000000000001</v>
      </c>
      <c r="G4" s="4">
        <f>E4*F4</f>
        <v/>
      </c>
    </row>
    <row r="5">
      <c r="A5" s="2" t="n">
        <v>4</v>
      </c>
      <c r="B5" s="2" t="inlineStr">
        <is>
          <t>90148</t>
        </is>
      </c>
      <c r="C5" s="2" t="inlineStr">
        <is>
          <t>Aço CA-50, diâmetro 10 mm, corte e dobra</t>
        </is>
      </c>
      <c r="D5" s="2" t="inlineStr">
        <is>
          <t>kg</t>
        </is>
      </c>
      <c r="E5" s="3" t="n">
        <v>640</v>
      </c>
      <c r="F5" s="3" t="n">
        <v>9.15</v>
      </c>
      <c r="G5" s="4">
        <f>E5*F5</f>
        <v/>
      </c>
    </row>
    <row r="6">
      <c r="A6" s="2" t="n">
        <v>5</v>
      </c>
      <c r="B6" s="2" t="inlineStr">
        <is>
          <t>90156</t>
        </is>
      </c>
      <c r="C6" s="2" t="inlineStr">
        <is>
          <t>Alvenaria de vedação com bloco cerâmico 14 cm</t>
        </is>
      </c>
      <c r="D6" s="2" t="inlineStr">
        <is>
          <t>m²</t>
        </is>
      </c>
      <c r="E6" s="3" t="n">
        <v>132</v>
      </c>
      <c r="F6" s="3" t="n">
        <v>81.5</v>
      </c>
      <c r="G6" s="4">
        <f>E6*F6</f>
        <v/>
      </c>
    </row>
    <row r="7">
      <c r="A7" s="2" t="n">
        <v>6</v>
      </c>
      <c r="B7" s="2" t="inlineStr">
        <is>
          <t>90162</t>
        </is>
      </c>
      <c r="C7" s="2" t="inlineStr">
        <is>
          <t>Reboco paulista interno, espessura 2 cm</t>
        </is>
      </c>
      <c r="D7" s="2" t="inlineStr">
        <is>
          <t>m²</t>
        </is>
      </c>
      <c r="E7" s="3" t="n">
        <v>198</v>
      </c>
      <c r="F7" s="3" t="n">
        <v>34.2</v>
      </c>
      <c r="G7" s="4">
        <f>E7*F7</f>
        <v/>
      </c>
    </row>
    <row r="8">
      <c r="A8" s="2" t="n">
        <v>7</v>
      </c>
      <c r="B8" s="2" t="inlineStr">
        <is>
          <t>90170</t>
        </is>
      </c>
      <c r="C8" s="2" t="inlineStr">
        <is>
          <t>Pintura látex PVA, duas demãos, sobre reboco</t>
        </is>
      </c>
      <c r="D8" s="2" t="inlineStr">
        <is>
          <t>m²</t>
        </is>
      </c>
      <c r="E8" s="3" t="n">
        <v>198</v>
      </c>
      <c r="F8" s="3" t="n">
        <v>19.4</v>
      </c>
      <c r="G8" s="4">
        <f>E8*F8</f>
        <v/>
      </c>
    </row>
    <row r="9">
      <c r="A9" s="2" t="n">
        <v>8</v>
      </c>
      <c r="B9" s="2" t="inlineStr">
        <is>
          <t>90184</t>
        </is>
      </c>
      <c r="C9" s="2" t="inlineStr">
        <is>
          <t>Lastro de concreto magro, espessura 5 cm</t>
        </is>
      </c>
      <c r="D9" s="2" t="inlineStr">
        <is>
          <t>m³</t>
        </is>
      </c>
      <c r="E9" s="3" t="n">
        <v>7.8</v>
      </c>
      <c r="F9" s="3" t="n">
        <v>286</v>
      </c>
      <c r="G9" s="4">
        <f>E9*F9</f>
        <v/>
      </c>
    </row>
    <row r="10">
      <c r="A10" s="2" t="n">
        <v>9</v>
      </c>
      <c r="B10" s="2" t="inlineStr">
        <is>
          <t>90191</t>
        </is>
      </c>
      <c r="C10" s="2" t="inlineStr">
        <is>
          <t>Contraverga de concreto em vão de janela</t>
        </is>
      </c>
      <c r="D10" s="2" t="inlineStr">
        <is>
          <t>m</t>
        </is>
      </c>
      <c r="E10" s="3" t="n">
        <v>24</v>
      </c>
      <c r="F10" s="3" t="n">
        <v>46.7</v>
      </c>
      <c r="G10" s="4">
        <f>E10*F10</f>
        <v/>
      </c>
    </row>
  </sheetData>
  <autoFilter ref="A1:G10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Construtora Exemplo Ltda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Engenheira Ana Exemplo</dc:creator>
  <dc:title>Boletim de medição 03 — exemplo fictício</dc:title>
  <dc:description>Planilha fictícia para demonstrar o modo Comparar. Não é uma medição real.</dc:description>
  <dc:subject>Obra exemplo, sem dado real</dc:subject>
  <dcterms:created xsi:type="dcterms:W3CDTF">2026-03-12T18:40:00Z</dcterms:created>
  <dcterms:modified xsi:type="dcterms:W3CDTF">2026-03-12T18:40:00Z</dcterms:modified>
  <cp:lastModifiedBy>Engenheira Ana Exemplo</cp:lastModifiedBy>
  <cp:category>Exemplo</cp:category>
  <cp:keywords>exemplo, fictício, medição</cp:keywords>
</cp:coreProperties>
</file>